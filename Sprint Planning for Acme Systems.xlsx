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warwickac-my.sharepoint.com/personal/u5629869_live_warwick_ac_uk/Documents/Documents/Business Analyst Notes/Business Analyst Case Studies/"/>
    </mc:Choice>
  </mc:AlternateContent>
  <xr:revisionPtr revIDLastSave="125" documentId="8_{481B897B-A236-4DA6-ABFA-04CAABA98AD2}" xr6:coauthVersionLast="47" xr6:coauthVersionMax="47" xr10:uidLastSave="{A3E3CAA1-E89A-4BA6-9123-12E18FD051C9}"/>
  <bookViews>
    <workbookView xWindow="-108" yWindow="-108" windowWidth="23256" windowHeight="12456" xr2:uid="{060EEA77-481A-4DCC-9FA6-3CBD3B411519}"/>
  </bookViews>
  <sheets>
    <sheet name="Sprint 1" sheetId="1" r:id="rId1"/>
    <sheet name="Sprint 2" sheetId="2" r:id="rId2"/>
    <sheet name="Sprint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4" l="1"/>
  <c r="G8" i="4"/>
  <c r="H8" i="4" s="1"/>
  <c r="I8" i="4" s="1"/>
  <c r="G7" i="4"/>
  <c r="H7" i="4" s="1"/>
  <c r="I7" i="4" s="1"/>
  <c r="H6" i="4"/>
  <c r="I6" i="4" s="1"/>
  <c r="G5" i="4"/>
  <c r="H5" i="4" s="1"/>
  <c r="I5" i="4" s="1"/>
  <c r="G4" i="4"/>
  <c r="H4" i="4" s="1"/>
  <c r="I4" i="4" s="1"/>
  <c r="G7" i="2"/>
  <c r="H7" i="2" s="1"/>
  <c r="I7" i="2" s="1"/>
  <c r="G6" i="2"/>
  <c r="H6" i="2" s="1"/>
  <c r="I6" i="2" s="1"/>
  <c r="G5" i="2"/>
  <c r="H5" i="2" s="1"/>
  <c r="I5" i="2" s="1"/>
  <c r="G4" i="2"/>
  <c r="H4" i="2" s="1"/>
  <c r="I4" i="2" s="1"/>
  <c r="I5" i="1"/>
  <c r="I6" i="1"/>
  <c r="I7" i="1"/>
  <c r="I8" i="1"/>
  <c r="H5" i="1"/>
  <c r="H6" i="1"/>
  <c r="H7" i="1"/>
  <c r="H8" i="1"/>
  <c r="G7" i="1"/>
  <c r="G8" i="1"/>
  <c r="G5" i="1"/>
  <c r="G6" i="1"/>
  <c r="I4" i="1"/>
  <c r="H4" i="1"/>
  <c r="G4" i="1"/>
</calcChain>
</file>

<file path=xl/sharedStrings.xml><?xml version="1.0" encoding="utf-8"?>
<sst xmlns="http://schemas.openxmlformats.org/spreadsheetml/2006/main" count="104" uniqueCount="64">
  <si>
    <t>ID</t>
  </si>
  <si>
    <t>Product Backlog</t>
  </si>
  <si>
    <t>Priority</t>
  </si>
  <si>
    <t>User Story</t>
  </si>
  <si>
    <t>Story Point</t>
  </si>
  <si>
    <t>Sprint</t>
  </si>
  <si>
    <t xml:space="preserve">   Current Team Velocity = 20 Story Points; 1 Story Point = 8 Hours of Coding</t>
  </si>
  <si>
    <t xml:space="preserve"> Register as Staff</t>
  </si>
  <si>
    <t>US-01</t>
  </si>
  <si>
    <t>High</t>
  </si>
  <si>
    <r>
      <t xml:space="preserve">As a staff member, I want to register an account, so that I can access the application and view my schedules, room assignments, and cleaning tasks.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I am a new staff member
When I complete the registration form and submit my details
Then my account should be created successfully and I should be able to access the application.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Staff Registration Screen
Create Personal Information Form
Create Username and Password Fields
Validate Mandatory Fields
Verify Email Address
Store User Information in Database
Display Registration Success Message</t>
    </r>
  </si>
  <si>
    <t>Register as Supervisor</t>
  </si>
  <si>
    <t xml:space="preserve">US-02 </t>
  </si>
  <si>
    <r>
      <t xml:space="preserve">As a supervisor, I want to register an account, so that I can manage staff schedules and room assignments.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I am a new supervisor
When I complete the registration form and submit my details
Then my account should be created successfully.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Supervisor Registration Screen
Create Supervisor Information Form
Validate Registration Details
Verify Email Address
Create Supervisor Role Profile
Store Registration Information
Display Registration Confirmation</t>
    </r>
  </si>
  <si>
    <t xml:space="preserve"> Login Functionality</t>
  </si>
  <si>
    <t>US-03</t>
  </si>
  <si>
    <t>Forgot Password</t>
  </si>
  <si>
    <t xml:space="preserve">US-04 </t>
  </si>
  <si>
    <t>Medium</t>
  </si>
  <si>
    <r>
      <t xml:space="preserve">As a user, I want to reset my password, so that I can regain access to my account.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I have forgotten my password
When I select the "Forgot Password" option and enter my registered email
Then I should receive instructions to reset my password.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Forgot Password Screen
Create Email Verification Process
Generate Password Reset Link
Send Password Reset Email
Create New Password Screen
Validate New Password
Display Password Reset Confirmation</t>
    </r>
  </si>
  <si>
    <r>
      <t xml:space="preserve">As a user, I want to log into the application, so that I can access features based on my role.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I have a registered account
When I enter valid username and password
Then I should be redirected to the appropriate dashboard.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Login Screen
Create Username Field
Create Password Field
Validate Credentials
Authenticate User
Redirect User Based on Role
Display Login Error Messages</t>
    </r>
  </si>
  <si>
    <t>Role-Based Access Control</t>
  </si>
  <si>
    <t xml:space="preserve">US-05 </t>
  </si>
  <si>
    <t>High Level Sprint Planning</t>
  </si>
  <si>
    <t xml:space="preserve">Developers </t>
  </si>
  <si>
    <t>Output of Each week</t>
  </si>
  <si>
    <t>Sprint Velocity</t>
  </si>
  <si>
    <t>Consideration: We have 4 developer, and sprint is of 2 week</t>
  </si>
  <si>
    <t>Staff Dashboard</t>
  </si>
  <si>
    <t>US-06</t>
  </si>
  <si>
    <r>
      <t xml:space="preserve">As a supervisor, I want to view staff availability, so that I can create schedules and assign resources efficiently.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staff members have submitted their availability
When I access the availability screen
Then I should be able to view all staff availability information.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Availability Dashboard
Display Staff Availability
Search Staff Availability
Filter Availability by Date
Sort Availability Records
Retrieve Availability Data from Database</t>
    </r>
  </si>
  <si>
    <t>Supervisor Dashboard</t>
  </si>
  <si>
    <t xml:space="preserve">US-07 </t>
  </si>
  <si>
    <r>
      <t xml:space="preserve">As a supervisor, I want to view a dashboard, so that I can monitor staff assignments, schedules, and cleaning progress.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I am logged into the application
When I access the Supervisor Dashboard
Then I should be able to monitor staff schedules and room assignments.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Supervisor Dashboard UI
Display Staff Assignments
Display Room Assignments
Display Schedule Summary
Display Cleaning Status
Create Navigation Menu
Fetch Operational Data</t>
    </r>
  </si>
  <si>
    <t>Input Available Hours</t>
  </si>
  <si>
    <t>US-08</t>
  </si>
  <si>
    <r>
      <t xml:space="preserve">As a staff member, I want to enter my available working hours, so that supervisors can create schedules based on my availability.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I am logged into the application
When I enter my available working hours
Then my availability should be saved successfully.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Availability Form
Create Date Selection Control
Create Time Selection Control
Validate Availability Entries
Save Availability Data
Display Success Message</t>
    </r>
  </si>
  <si>
    <t>View Staff Availability</t>
  </si>
  <si>
    <t xml:space="preserve">US-09 </t>
  </si>
  <si>
    <r>
      <t xml:space="preserve">As a user, I want access based on my role, so that I only see features relevant to my responsibilities.
</t>
    </r>
    <r>
      <rPr>
        <b/>
        <sz val="11"/>
        <color theme="1"/>
        <rFont val="Aptos Narrow"/>
        <family val="2"/>
        <scheme val="minor"/>
      </rPr>
      <t xml:space="preserve">Acceptance Criteria
</t>
    </r>
    <r>
      <rPr>
        <sz val="11"/>
        <color theme="1"/>
        <rFont val="Aptos Narrow"/>
        <family val="2"/>
        <scheme val="minor"/>
      </rPr>
      <t xml:space="preserve">
Given that I am logged into the applicationWhen the system identifies my role
Then I should only be able to access features assigned to my role.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Define Staff Permissions
Define Supervisor Permissions
Define Admin Permissions
Create Role Mapping Logic
Restrict Unauthorized Access
Create Role-Based Navigation Menu
Test User Access Permissions</t>
    </r>
  </si>
  <si>
    <t>Complexity</t>
  </si>
  <si>
    <t>Story Points</t>
  </si>
  <si>
    <t>Very Small</t>
  </si>
  <si>
    <t>Small</t>
  </si>
  <si>
    <t>Large</t>
  </si>
  <si>
    <t>Complex</t>
  </si>
  <si>
    <t>Very Complex</t>
  </si>
  <si>
    <t>Priority Index</t>
  </si>
  <si>
    <t>Low</t>
  </si>
  <si>
    <t xml:space="preserve"> Display Available Rooms</t>
  </si>
  <si>
    <t>US-10</t>
  </si>
  <si>
    <r>
      <t xml:space="preserve">As a supervisor, I want to view available rooms, so that I can assign staff to rooms requiring cleaning.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rooms are available in the system
When I access the room management screen
Then I should be able to view all available rooms and their status.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Room Management Screen
Display Room List
Display Room Status
Filter Rooms by Status
Search Rooms
Retrieve Room Data from Database</t>
    </r>
  </si>
  <si>
    <t>Display Available Staff</t>
  </si>
  <si>
    <t xml:space="preserve">US-11 </t>
  </si>
  <si>
    <r>
      <t xml:space="preserve">As a supervisor, I want to view available staff members, so that I can allocate cleaning tasks efficiently.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staff availability has been entered
When I access the staff allocation screen
Then I should be able to view available staff members.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Staff Availability Screen
Display Staff List
Display Availability Status
Search Staff
Filter Available Staff
Retrieve Staff Data from Database</t>
    </r>
  </si>
  <si>
    <t>Assign Staff to Room</t>
  </si>
  <si>
    <t>US-12</t>
  </si>
  <si>
    <r>
      <t xml:space="preserve">As a supervisor, I want to assign staff members to rooms, so that cleaning activities can be completed efficiently.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staff and rooms are available
When I assign a staff member to a room
Then the room assignment should be saved successfully.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Assignment Screen
Display Available Rooms
Display Available Staff
Create Assignment Logic
Save Assignment
Update Room Status
Display Confirmation Message</t>
    </r>
  </si>
  <si>
    <t>Reassign Staff to Room</t>
  </si>
  <si>
    <t>US-13</t>
  </si>
  <si>
    <r>
      <t xml:space="preserve">As a supervisor, I want to reassign staff members to different rooms, so that operational changes can be accommodated.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a room assignment already exists
When I update the assignment
Then the new room assignment should be saved successfully.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Display Existing Assignments
Create Reassignment Functionality
Update Room Assignment
Save Changes
Display Confirmation Message</t>
    </r>
  </si>
  <si>
    <t>Assignment Notifications</t>
  </si>
  <si>
    <t xml:space="preserve">US-14 </t>
  </si>
  <si>
    <r>
      <t xml:space="preserve">As a staff member, I want to receive notifications when room assignments are updated, so that I am aware of my responsibilities.
</t>
    </r>
    <r>
      <rPr>
        <b/>
        <sz val="11"/>
        <color theme="1"/>
        <rFont val="Aptos Narrow"/>
        <family val="2"/>
        <scheme val="minor"/>
      </rPr>
      <t>Acceptance Criteria</t>
    </r>
    <r>
      <rPr>
        <sz val="11"/>
        <color theme="1"/>
        <rFont val="Aptos Narrow"/>
        <family val="2"/>
        <scheme val="minor"/>
      </rPr>
      <t xml:space="preserve">
Given that a room assignment has been created or updated
When the assignment is saved
Then the assigned staff member should receive a notification.
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
Create Notification Service
Generate Assignment Notification
Send Notification to Staff
Display Notification in Dashboard
Store Notification History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</si>
</sst>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F0D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0" fillId="0" borderId="1" xfId="0" applyBorder="1" applyAlignment="1">
      <alignment wrapText="1"/>
    </xf>
    <xf numFmtId="0" fontId="5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DF0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AD8B-EE0D-4376-B0D1-74F594E71D17}">
  <dimension ref="A1:R21"/>
  <sheetViews>
    <sheetView tabSelected="1" topLeftCell="A5" workbookViewId="0">
      <selection activeCell="C7" sqref="C7"/>
    </sheetView>
  </sheetViews>
  <sheetFormatPr defaultRowHeight="14.4" x14ac:dyDescent="0.3"/>
  <cols>
    <col min="1" max="1" width="8.88671875" style="2"/>
    <col min="2" max="2" width="27.21875" style="2" customWidth="1"/>
    <col min="3" max="3" width="11" style="2" customWidth="1"/>
    <col min="4" max="4" width="36" style="1" customWidth="1"/>
    <col min="5" max="5" width="17.88671875" style="2" customWidth="1"/>
    <col min="6" max="6" width="16" style="2" customWidth="1"/>
    <col min="7" max="7" width="16.77734375" customWidth="1"/>
    <col min="8" max="8" width="15.88671875" customWidth="1"/>
    <col min="9" max="9" width="22.5546875" customWidth="1"/>
    <col min="11" max="11" width="23.44140625" customWidth="1"/>
    <col min="14" max="14" width="10.109375" customWidth="1"/>
  </cols>
  <sheetData>
    <row r="1" spans="1:18" ht="23.4" x14ac:dyDescent="0.3">
      <c r="A1" s="15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8" ht="26.4" customHeight="1" x14ac:dyDescent="0.3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17" t="s">
        <v>6</v>
      </c>
      <c r="H2" s="17"/>
      <c r="I2" s="17"/>
      <c r="J2" s="17"/>
      <c r="K2" s="17"/>
      <c r="L2" s="17"/>
      <c r="M2" s="17"/>
      <c r="N2" s="17"/>
      <c r="O2" s="6"/>
      <c r="P2" s="6"/>
      <c r="Q2" s="6"/>
      <c r="R2" s="6"/>
    </row>
    <row r="3" spans="1:18" ht="26.4" customHeight="1" x14ac:dyDescent="0.3">
      <c r="A3" s="18" t="s">
        <v>8</v>
      </c>
      <c r="B3" s="18" t="s">
        <v>7</v>
      </c>
      <c r="C3" s="20" t="s">
        <v>9</v>
      </c>
      <c r="D3" s="19" t="s">
        <v>10</v>
      </c>
      <c r="E3" s="18">
        <v>3</v>
      </c>
      <c r="F3" s="18">
        <v>1</v>
      </c>
      <c r="G3" s="8" t="s">
        <v>26</v>
      </c>
      <c r="H3" s="7" t="s">
        <v>24</v>
      </c>
      <c r="I3" s="7" t="s">
        <v>25</v>
      </c>
    </row>
    <row r="4" spans="1:18" ht="297.60000000000002" customHeight="1" x14ac:dyDescent="0.3">
      <c r="A4" s="18"/>
      <c r="B4" s="18"/>
      <c r="C4" s="20"/>
      <c r="D4" s="19"/>
      <c r="E4" s="18"/>
      <c r="F4" s="18"/>
      <c r="G4" s="3">
        <f>20*E3*2</f>
        <v>120</v>
      </c>
      <c r="H4" s="3">
        <f>G4/4</f>
        <v>30</v>
      </c>
      <c r="I4" s="3">
        <f>H4/2</f>
        <v>15</v>
      </c>
      <c r="K4" s="10" t="s">
        <v>27</v>
      </c>
    </row>
    <row r="5" spans="1:18" ht="288" x14ac:dyDescent="0.3">
      <c r="A5" s="3" t="s">
        <v>12</v>
      </c>
      <c r="B5" s="3" t="s">
        <v>11</v>
      </c>
      <c r="C5" s="21" t="s">
        <v>9</v>
      </c>
      <c r="D5" s="9" t="s">
        <v>13</v>
      </c>
      <c r="E5" s="3">
        <v>3</v>
      </c>
      <c r="F5" s="3">
        <v>1</v>
      </c>
      <c r="G5" s="3">
        <f>20*E5*2</f>
        <v>120</v>
      </c>
      <c r="H5" s="3">
        <f t="shared" ref="H5:H8" si="0">G5/4</f>
        <v>30</v>
      </c>
      <c r="I5" s="3">
        <f t="shared" ref="I5:I8" si="1">H5/2</f>
        <v>15</v>
      </c>
    </row>
    <row r="6" spans="1:18" ht="273.60000000000002" x14ac:dyDescent="0.3">
      <c r="A6" s="3" t="s">
        <v>15</v>
      </c>
      <c r="B6" s="3" t="s">
        <v>14</v>
      </c>
      <c r="C6" s="21" t="s">
        <v>9</v>
      </c>
      <c r="D6" s="9" t="s">
        <v>20</v>
      </c>
      <c r="E6" s="3">
        <v>3</v>
      </c>
      <c r="F6" s="3">
        <v>1</v>
      </c>
      <c r="G6" s="3">
        <f t="shared" ref="G6" si="2">20*E5*2</f>
        <v>120</v>
      </c>
      <c r="H6" s="3">
        <f t="shared" si="0"/>
        <v>30</v>
      </c>
      <c r="I6" s="3">
        <f t="shared" si="1"/>
        <v>15</v>
      </c>
    </row>
    <row r="7" spans="1:18" ht="302.39999999999998" x14ac:dyDescent="0.3">
      <c r="A7" s="3" t="s">
        <v>17</v>
      </c>
      <c r="B7" s="3" t="s">
        <v>16</v>
      </c>
      <c r="C7" s="24" t="s">
        <v>18</v>
      </c>
      <c r="D7" s="9" t="s">
        <v>19</v>
      </c>
      <c r="E7" s="3">
        <v>2</v>
      </c>
      <c r="F7" s="3">
        <v>1</v>
      </c>
      <c r="G7" s="3">
        <f>20*E7*2</f>
        <v>80</v>
      </c>
      <c r="H7" s="3">
        <f t="shared" si="0"/>
        <v>20</v>
      </c>
      <c r="I7" s="3">
        <f t="shared" si="1"/>
        <v>10</v>
      </c>
    </row>
    <row r="8" spans="1:18" ht="288" x14ac:dyDescent="0.3">
      <c r="A8" s="3" t="s">
        <v>22</v>
      </c>
      <c r="B8" s="3" t="s">
        <v>21</v>
      </c>
      <c r="C8" s="21" t="s">
        <v>9</v>
      </c>
      <c r="D8" s="9" t="s">
        <v>39</v>
      </c>
      <c r="E8" s="3">
        <v>5</v>
      </c>
      <c r="F8" s="3">
        <v>1</v>
      </c>
      <c r="G8" s="3">
        <f>20*E8*2</f>
        <v>200</v>
      </c>
      <c r="H8" s="3">
        <f t="shared" si="0"/>
        <v>50</v>
      </c>
      <c r="I8" s="3">
        <f t="shared" si="1"/>
        <v>25</v>
      </c>
    </row>
    <row r="10" spans="1:18" ht="28.8" x14ac:dyDescent="0.3">
      <c r="B10" s="11" t="s">
        <v>40</v>
      </c>
      <c r="C10" s="11" t="s">
        <v>41</v>
      </c>
    </row>
    <row r="11" spans="1:18" x14ac:dyDescent="0.3">
      <c r="B11" s="12" t="s">
        <v>42</v>
      </c>
      <c r="C11" s="12">
        <v>1</v>
      </c>
    </row>
    <row r="12" spans="1:18" x14ac:dyDescent="0.3">
      <c r="B12" s="12" t="s">
        <v>43</v>
      </c>
      <c r="C12" s="12">
        <v>2</v>
      </c>
    </row>
    <row r="13" spans="1:18" x14ac:dyDescent="0.3">
      <c r="B13" s="12" t="s">
        <v>18</v>
      </c>
      <c r="C13" s="12">
        <v>3</v>
      </c>
    </row>
    <row r="14" spans="1:18" x14ac:dyDescent="0.3">
      <c r="B14" s="12" t="s">
        <v>44</v>
      </c>
      <c r="C14" s="12">
        <v>5</v>
      </c>
    </row>
    <row r="15" spans="1:18" x14ac:dyDescent="0.3">
      <c r="B15" s="12" t="s">
        <v>45</v>
      </c>
      <c r="C15" s="12">
        <v>8</v>
      </c>
    </row>
    <row r="16" spans="1:18" x14ac:dyDescent="0.3">
      <c r="B16" s="12" t="s">
        <v>46</v>
      </c>
      <c r="C16" s="12">
        <v>13</v>
      </c>
    </row>
    <row r="18" spans="2:2" x14ac:dyDescent="0.3">
      <c r="B18" s="14" t="s">
        <v>47</v>
      </c>
    </row>
    <row r="19" spans="2:2" x14ac:dyDescent="0.3">
      <c r="B19" s="13" t="s">
        <v>9</v>
      </c>
    </row>
    <row r="20" spans="2:2" x14ac:dyDescent="0.3">
      <c r="B20" s="13" t="s">
        <v>18</v>
      </c>
    </row>
    <row r="21" spans="2:2" x14ac:dyDescent="0.3">
      <c r="B21" s="13" t="s">
        <v>48</v>
      </c>
    </row>
  </sheetData>
  <mergeCells count="8">
    <mergeCell ref="B3:B4"/>
    <mergeCell ref="A3:A4"/>
    <mergeCell ref="A1:O1"/>
    <mergeCell ref="G2:N2"/>
    <mergeCell ref="C3:C4"/>
    <mergeCell ref="D3:D4"/>
    <mergeCell ref="E3:E4"/>
    <mergeCell ref="F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4A30-2AA3-4126-B504-A2962620E8F4}">
  <dimension ref="A1:R7"/>
  <sheetViews>
    <sheetView topLeftCell="A5" workbookViewId="0">
      <selection activeCell="D3" sqref="D3:D4"/>
    </sheetView>
  </sheetViews>
  <sheetFormatPr defaultRowHeight="14.4" x14ac:dyDescent="0.3"/>
  <cols>
    <col min="1" max="1" width="8.88671875" style="2"/>
    <col min="2" max="2" width="27.21875" style="2" customWidth="1"/>
    <col min="3" max="3" width="11" style="2" customWidth="1"/>
    <col min="4" max="4" width="36" style="1" customWidth="1"/>
    <col min="5" max="5" width="17.88671875" style="2" customWidth="1"/>
    <col min="6" max="6" width="16" style="2" customWidth="1"/>
    <col min="7" max="7" width="16.77734375" customWidth="1"/>
    <col min="8" max="8" width="15.88671875" customWidth="1"/>
    <col min="9" max="9" width="22.5546875" customWidth="1"/>
    <col min="11" max="11" width="23.44140625" customWidth="1"/>
    <col min="14" max="14" width="10.109375" customWidth="1"/>
  </cols>
  <sheetData>
    <row r="1" spans="1:18" ht="23.4" x14ac:dyDescent="0.3">
      <c r="A1" s="15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8" ht="26.4" customHeight="1" x14ac:dyDescent="0.3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17" t="s">
        <v>6</v>
      </c>
      <c r="H2" s="17"/>
      <c r="I2" s="17"/>
      <c r="J2" s="17"/>
      <c r="K2" s="17"/>
      <c r="L2" s="17"/>
      <c r="M2" s="17"/>
      <c r="N2" s="17"/>
      <c r="O2" s="6"/>
      <c r="P2" s="6"/>
      <c r="Q2" s="6"/>
      <c r="R2" s="6"/>
    </row>
    <row r="3" spans="1:18" ht="26.4" customHeight="1" x14ac:dyDescent="0.3">
      <c r="A3" s="18" t="s">
        <v>29</v>
      </c>
      <c r="B3" s="18" t="s">
        <v>28</v>
      </c>
      <c r="C3" s="20" t="s">
        <v>9</v>
      </c>
      <c r="D3" s="19" t="s">
        <v>30</v>
      </c>
      <c r="E3" s="18">
        <v>3</v>
      </c>
      <c r="F3" s="18">
        <v>2</v>
      </c>
      <c r="G3" s="8" t="s">
        <v>26</v>
      </c>
      <c r="H3" s="7" t="s">
        <v>24</v>
      </c>
      <c r="I3" s="7" t="s">
        <v>25</v>
      </c>
    </row>
    <row r="4" spans="1:18" ht="297.60000000000002" customHeight="1" x14ac:dyDescent="0.3">
      <c r="A4" s="18"/>
      <c r="B4" s="18"/>
      <c r="C4" s="20"/>
      <c r="D4" s="19"/>
      <c r="E4" s="18"/>
      <c r="F4" s="18"/>
      <c r="G4" s="3">
        <f>20*E3*2</f>
        <v>120</v>
      </c>
      <c r="H4" s="3">
        <f>G4/4</f>
        <v>30</v>
      </c>
      <c r="I4" s="3">
        <f>H4/2</f>
        <v>15</v>
      </c>
      <c r="K4" s="10" t="s">
        <v>27</v>
      </c>
    </row>
    <row r="5" spans="1:18" ht="273.60000000000002" x14ac:dyDescent="0.3">
      <c r="A5" s="3" t="s">
        <v>32</v>
      </c>
      <c r="B5" s="3" t="s">
        <v>31</v>
      </c>
      <c r="C5" s="21" t="s">
        <v>9</v>
      </c>
      <c r="D5" s="9" t="s">
        <v>33</v>
      </c>
      <c r="E5" s="3">
        <v>5</v>
      </c>
      <c r="F5" s="3">
        <v>2</v>
      </c>
      <c r="G5" s="3">
        <f>20*E5*2</f>
        <v>200</v>
      </c>
      <c r="H5" s="3">
        <f t="shared" ref="H5:H7" si="0">G5/4</f>
        <v>50</v>
      </c>
      <c r="I5" s="3">
        <f t="shared" ref="I5:I7" si="1">H5/2</f>
        <v>25</v>
      </c>
    </row>
    <row r="6" spans="1:18" ht="273.60000000000002" x14ac:dyDescent="0.3">
      <c r="A6" s="3" t="s">
        <v>35</v>
      </c>
      <c r="B6" s="3" t="s">
        <v>34</v>
      </c>
      <c r="C6" s="21" t="s">
        <v>9</v>
      </c>
      <c r="D6" s="9" t="s">
        <v>36</v>
      </c>
      <c r="E6" s="3">
        <v>3</v>
      </c>
      <c r="F6" s="3">
        <v>2</v>
      </c>
      <c r="G6" s="3">
        <f t="shared" ref="G6" si="2">20*E5*2</f>
        <v>200</v>
      </c>
      <c r="H6" s="3">
        <f t="shared" si="0"/>
        <v>50</v>
      </c>
      <c r="I6" s="3">
        <f t="shared" si="1"/>
        <v>25</v>
      </c>
    </row>
    <row r="7" spans="1:18" ht="273.60000000000002" x14ac:dyDescent="0.3">
      <c r="A7" s="3" t="s">
        <v>38</v>
      </c>
      <c r="B7" s="3" t="s">
        <v>37</v>
      </c>
      <c r="C7" s="21" t="s">
        <v>9</v>
      </c>
      <c r="D7" s="9" t="s">
        <v>30</v>
      </c>
      <c r="E7" s="3">
        <v>3</v>
      </c>
      <c r="F7" s="3">
        <v>2</v>
      </c>
      <c r="G7" s="3">
        <f>20*E7*2</f>
        <v>120</v>
      </c>
      <c r="H7" s="3">
        <f t="shared" si="0"/>
        <v>30</v>
      </c>
      <c r="I7" s="3">
        <f t="shared" si="1"/>
        <v>15</v>
      </c>
    </row>
  </sheetData>
  <mergeCells count="8">
    <mergeCell ref="A1:O1"/>
    <mergeCell ref="G2:N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61863-F58F-40AE-9199-23A3FE605C6D}">
  <dimension ref="A1:O8"/>
  <sheetViews>
    <sheetView topLeftCell="A6" workbookViewId="0">
      <selection activeCell="C8" sqref="C8"/>
    </sheetView>
  </sheetViews>
  <sheetFormatPr defaultRowHeight="14.4" x14ac:dyDescent="0.3"/>
  <cols>
    <col min="2" max="2" width="27.77734375" customWidth="1"/>
    <col min="3" max="3" width="14" customWidth="1"/>
    <col min="4" max="4" width="35.33203125" customWidth="1"/>
    <col min="5" max="5" width="18" customWidth="1"/>
    <col min="6" max="6" width="11.21875" customWidth="1"/>
    <col min="7" max="7" width="18.5546875" customWidth="1"/>
    <col min="8" max="8" width="14.88671875" customWidth="1"/>
    <col min="9" max="9" width="22" customWidth="1"/>
    <col min="11" max="11" width="21.88671875" customWidth="1"/>
    <col min="15" max="15" width="22.77734375" customWidth="1"/>
  </cols>
  <sheetData>
    <row r="1" spans="1:15" ht="23.4" x14ac:dyDescent="0.3">
      <c r="A1" s="15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6" x14ac:dyDescent="0.3">
      <c r="A2" s="4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4" t="s">
        <v>5</v>
      </c>
      <c r="G2" s="17" t="s">
        <v>6</v>
      </c>
      <c r="H2" s="17"/>
      <c r="I2" s="17"/>
      <c r="J2" s="17"/>
      <c r="K2" s="17"/>
      <c r="L2" s="17"/>
      <c r="M2" s="17"/>
      <c r="N2" s="17"/>
      <c r="O2" s="6"/>
    </row>
    <row r="3" spans="1:15" ht="18" x14ac:dyDescent="0.3">
      <c r="A3" s="18" t="s">
        <v>50</v>
      </c>
      <c r="B3" s="18" t="s">
        <v>49</v>
      </c>
      <c r="C3" s="22" t="s">
        <v>9</v>
      </c>
      <c r="D3" s="19" t="s">
        <v>51</v>
      </c>
      <c r="E3" s="18">
        <v>2</v>
      </c>
      <c r="F3" s="18">
        <v>3</v>
      </c>
      <c r="G3" s="8" t="s">
        <v>26</v>
      </c>
      <c r="H3" s="7" t="s">
        <v>24</v>
      </c>
      <c r="I3" s="7" t="s">
        <v>25</v>
      </c>
    </row>
    <row r="4" spans="1:15" ht="309.60000000000002" customHeight="1" x14ac:dyDescent="0.3">
      <c r="A4" s="18"/>
      <c r="B4" s="18"/>
      <c r="C4" s="22"/>
      <c r="D4" s="19"/>
      <c r="E4" s="18"/>
      <c r="F4" s="18"/>
      <c r="G4" s="3">
        <f>20*E3*2</f>
        <v>80</v>
      </c>
      <c r="H4" s="3">
        <f>G4/4</f>
        <v>20</v>
      </c>
      <c r="I4" s="3">
        <f>H4/2</f>
        <v>10</v>
      </c>
      <c r="K4" s="10" t="s">
        <v>27</v>
      </c>
    </row>
    <row r="5" spans="1:15" ht="273.60000000000002" x14ac:dyDescent="0.3">
      <c r="A5" s="3" t="s">
        <v>53</v>
      </c>
      <c r="B5" s="3" t="s">
        <v>52</v>
      </c>
      <c r="C5" s="23" t="s">
        <v>9</v>
      </c>
      <c r="D5" s="9" t="s">
        <v>54</v>
      </c>
      <c r="E5" s="3">
        <v>2</v>
      </c>
      <c r="F5" s="3">
        <v>3</v>
      </c>
      <c r="G5" s="3">
        <f>20*E5*2</f>
        <v>80</v>
      </c>
      <c r="H5" s="3">
        <f t="shared" ref="H5:H8" si="0">G5/4</f>
        <v>20</v>
      </c>
      <c r="I5" s="3">
        <f t="shared" ref="I5:I8" si="1">H5/2</f>
        <v>10</v>
      </c>
    </row>
    <row r="6" spans="1:15" ht="273.60000000000002" x14ac:dyDescent="0.3">
      <c r="A6" s="3" t="s">
        <v>56</v>
      </c>
      <c r="B6" s="3" t="s">
        <v>55</v>
      </c>
      <c r="C6" s="23" t="s">
        <v>9</v>
      </c>
      <c r="D6" s="9" t="s">
        <v>57</v>
      </c>
      <c r="E6" s="3">
        <v>5</v>
      </c>
      <c r="F6" s="3">
        <v>3</v>
      </c>
      <c r="G6" s="3">
        <f>20*E6*2</f>
        <v>200</v>
      </c>
      <c r="H6" s="3">
        <f t="shared" si="0"/>
        <v>50</v>
      </c>
      <c r="I6" s="3">
        <f t="shared" si="1"/>
        <v>25</v>
      </c>
    </row>
    <row r="7" spans="1:15" ht="273.60000000000002" x14ac:dyDescent="0.3">
      <c r="A7" s="3" t="s">
        <v>59</v>
      </c>
      <c r="B7" s="3" t="s">
        <v>58</v>
      </c>
      <c r="C7" s="24" t="s">
        <v>18</v>
      </c>
      <c r="D7" s="9" t="s">
        <v>60</v>
      </c>
      <c r="E7" s="3">
        <v>3</v>
      </c>
      <c r="F7" s="3">
        <v>3</v>
      </c>
      <c r="G7" s="3">
        <f>20*E7*2</f>
        <v>120</v>
      </c>
      <c r="H7" s="3">
        <f t="shared" si="0"/>
        <v>30</v>
      </c>
      <c r="I7" s="3">
        <f t="shared" si="1"/>
        <v>15</v>
      </c>
    </row>
    <row r="8" spans="1:15" ht="273.60000000000002" x14ac:dyDescent="0.3">
      <c r="A8" s="3" t="s">
        <v>62</v>
      </c>
      <c r="B8" s="3" t="s">
        <v>61</v>
      </c>
      <c r="C8" s="25" t="s">
        <v>48</v>
      </c>
      <c r="D8" s="9" t="s">
        <v>63</v>
      </c>
      <c r="E8" s="3">
        <v>2</v>
      </c>
      <c r="F8" s="3">
        <v>3</v>
      </c>
      <c r="G8" s="3">
        <f>20*E8*2</f>
        <v>80</v>
      </c>
      <c r="H8" s="3">
        <f t="shared" si="0"/>
        <v>20</v>
      </c>
      <c r="I8" s="3">
        <f t="shared" si="1"/>
        <v>10</v>
      </c>
    </row>
  </sheetData>
  <mergeCells count="8">
    <mergeCell ref="A1:O1"/>
    <mergeCell ref="G2:N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Sprint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RITHADIA, PRIYA (PGT)</dc:creator>
  <cp:lastModifiedBy>RITHADIA, PRIYA (PGT)</cp:lastModifiedBy>
  <dcterms:created xsi:type="dcterms:W3CDTF">2026-06-12T20:21:01Z</dcterms:created>
  <dcterms:modified xsi:type="dcterms:W3CDTF">2026-06-12T22:33:31Z</dcterms:modified>
</cp:coreProperties>
</file>